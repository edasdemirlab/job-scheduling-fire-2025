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job-scheduling-fire-2023\paper-inputs-results\case_instances_paper\"/>
    </mc:Choice>
  </mc:AlternateContent>
  <xr:revisionPtr revIDLastSave="0" documentId="13_ncr:1_{AA892FED-F9DB-4148-B7D9-03530D6025B9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definedNames>
    <definedName name="_xlnm._FilterDatabase" localSheetId="0" hidden="1">Sheet1!$B$1:$S$43</definedName>
  </definedName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3" i="1"/>
  <c r="H4" i="1"/>
  <c r="H2" i="1"/>
</calcChain>
</file>

<file path=xl/sharedStrings.xml><?xml version="1.0" encoding="utf-8"?>
<sst xmlns="http://schemas.openxmlformats.org/spreadsheetml/2006/main" count="102" uniqueCount="32">
  <si>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</si>
  <si>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</si>
  <si>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</si>
  <si>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</si>
  <si>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</si>
  <si>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</si>
  <si>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</si>
  <si>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</si>
  <si>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number_of_job_processed</t>
  </si>
  <si>
    <t>number_of_vehicles</t>
  </si>
  <si>
    <t>number_of_vehicles_used</t>
  </si>
  <si>
    <t>initial_fire_node_IDs</t>
  </si>
  <si>
    <t>Source_File</t>
  </si>
  <si>
    <t>2,4,12,23,25,35,46,47</t>
  </si>
  <si>
    <t>3,8,19,31,41,42,44,46</t>
  </si>
  <si>
    <t>2,10,13,24,28,30,31,36</t>
  </si>
  <si>
    <t>3,9,15,23,25,40</t>
  </si>
  <si>
    <t>19,23,28,34,35,37</t>
  </si>
  <si>
    <t>MedPop_HighVeg_3_1</t>
  </si>
  <si>
    <t>9,19,20,24,26,28,29,32,35,37,46,47,48</t>
  </si>
  <si>
    <t>MedPop_LowVeg_3_0</t>
  </si>
  <si>
    <t>9,31,34,45</t>
  </si>
  <si>
    <t>number_of_fires_in_total</t>
  </si>
  <si>
    <t>highpop_highveg_5_1</t>
  </si>
  <si>
    <t>highpop_lowveg_5_0</t>
  </si>
  <si>
    <t>lowpop_highveg_1_1</t>
  </si>
  <si>
    <t>lowpop_lowveg_1_0</t>
  </si>
  <si>
    <t>water</t>
  </si>
  <si>
    <t>UAV fleet size</t>
  </si>
  <si>
    <t>Speed</t>
  </si>
  <si>
    <t>number_of_new_fires</t>
  </si>
  <si>
    <t>job_completion_%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</si>
</sst>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Fill="1"/>
    <xf numFmtId="0" fontId="0" fillId="0" borderId="4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164" fontId="0" fillId="0" borderId="7" xfId="1" applyNumberFormat="1" applyFon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7" xfId="0" applyFill="1" applyBorder="1"/>
    <xf numFmtId="0" fontId="0" fillId="0" borderId="8" xfId="0" applyFill="1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" xfId="0" applyFill="1" applyBorder="1"/>
    <xf numFmtId="9" fontId="0" fillId="0" borderId="0" xfId="1" applyFont="1" applyFill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center" vertical="top"/>
    </xf>
    <xf numFmtId="164" fontId="1" fillId="0" borderId="10" xfId="1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9" fontId="0" fillId="0" borderId="7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164" fontId="0" fillId="3" borderId="0" xfId="1" applyNumberFormat="1" applyFon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9" fontId="0" fillId="3" borderId="0" xfId="1" applyFont="1" applyFill="1" applyBorder="1" applyAlignment="1">
      <alignment horizontal="center"/>
    </xf>
    <xf numFmtId="0" fontId="0" fillId="3" borderId="0" xfId="0" applyFill="1" applyBorder="1"/>
    <xf numFmtId="0" fontId="0" fillId="3" borderId="5" xfId="0" applyFill="1" applyBorder="1"/>
    <xf numFmtId="165" fontId="0" fillId="2" borderId="0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S43"/>
  <sheetViews>
    <sheetView tabSelected="1" workbookViewId="0">
      <selection activeCell="H50" sqref="H50"/>
    </sheetView>
  </sheetViews>
  <sheetFormatPr defaultRowHeight="14.4" x14ac:dyDescent="0.3"/>
  <cols>
    <col min="2" max="2" width="20.5546875" style="1" bestFit="1" customWidth="1"/>
    <col min="3" max="3" width="13.33203125" style="2" bestFit="1" customWidth="1"/>
    <col min="4" max="4" width="6.33203125" style="2" bestFit="1" customWidth="1"/>
    <col min="5" max="5" width="12" style="3" bestFit="1" customWidth="1"/>
    <col min="6" max="6" width="12" style="2" bestFit="1" customWidth="1"/>
    <col min="7" max="7" width="21.77734375" style="2" bestFit="1" customWidth="1"/>
    <col min="8" max="8" width="21.77734375" style="2" customWidth="1"/>
    <col min="9" max="9" width="23.44140625" style="2" bestFit="1" customWidth="1"/>
    <col min="10" max="10" width="24.44140625" style="2" bestFit="1" customWidth="1"/>
    <col min="11" max="11" width="24.44140625" style="2" customWidth="1"/>
    <col min="12" max="12" width="12" bestFit="1" customWidth="1"/>
    <col min="13" max="13" width="16.109375" bestFit="1" customWidth="1"/>
    <col min="14" max="14" width="17.109375" bestFit="1" customWidth="1"/>
    <col min="15" max="15" width="12.109375" bestFit="1" customWidth="1"/>
    <col min="16" max="16" width="14.5546875" bestFit="1" customWidth="1"/>
    <col min="17" max="17" width="18.88671875" bestFit="1" customWidth="1"/>
    <col min="18" max="18" width="24.109375" bestFit="1" customWidth="1"/>
    <col min="19" max="19" width="32.6640625" bestFit="1" customWidth="1"/>
    <col min="20" max="20" width="40.109375" bestFit="1" customWidth="1"/>
    <col min="21" max="21" width="20.5546875" bestFit="1" customWidth="1"/>
  </cols>
  <sheetData>
    <row r="1" spans="2:19" ht="15" thickBot="1" x14ac:dyDescent="0.35">
      <c r="B1" s="36" t="s">
        <v>12</v>
      </c>
      <c r="C1" s="37" t="s">
        <v>28</v>
      </c>
      <c r="D1" s="37" t="s">
        <v>29</v>
      </c>
      <c r="E1" s="38" t="s">
        <v>3</v>
      </c>
      <c r="F1" s="37" t="s">
        <v>4</v>
      </c>
      <c r="G1" s="37" t="s">
        <v>7</v>
      </c>
      <c r="H1" s="37" t="s">
        <v>30</v>
      </c>
      <c r="I1" s="37" t="s">
        <v>22</v>
      </c>
      <c r="J1" s="37" t="s">
        <v>8</v>
      </c>
      <c r="K1" s="37" t="s">
        <v>31</v>
      </c>
      <c r="L1" s="37" t="s">
        <v>0</v>
      </c>
      <c r="M1" s="37" t="s">
        <v>1</v>
      </c>
      <c r="N1" s="37" t="s">
        <v>2</v>
      </c>
      <c r="O1" s="37" t="s">
        <v>5</v>
      </c>
      <c r="P1" s="37" t="s">
        <v>6</v>
      </c>
      <c r="Q1" s="37" t="s">
        <v>9</v>
      </c>
      <c r="R1" s="37" t="s">
        <v>10</v>
      </c>
      <c r="S1" s="39" t="s">
        <v>11</v>
      </c>
    </row>
    <row r="2" spans="2:19" hidden="1" x14ac:dyDescent="0.3">
      <c r="B2" s="42" t="s">
        <v>23</v>
      </c>
      <c r="C2" s="43">
        <v>2</v>
      </c>
      <c r="D2" s="43">
        <v>30</v>
      </c>
      <c r="E2" s="44">
        <v>1.5314162127448849</v>
      </c>
      <c r="F2" s="45">
        <v>72002.515677928925</v>
      </c>
      <c r="G2" s="43">
        <v>8</v>
      </c>
      <c r="H2" s="43">
        <f>+I2-G2</f>
        <v>31</v>
      </c>
      <c r="I2" s="43">
        <v>39</v>
      </c>
      <c r="J2" s="43">
        <v>16</v>
      </c>
      <c r="K2" s="46">
        <f>+J2/I2</f>
        <v>0.41025641025641024</v>
      </c>
      <c r="L2" s="47">
        <v>100.62642412910969</v>
      </c>
      <c r="M2" s="47">
        <v>100.62642236344659</v>
      </c>
      <c r="N2" s="47">
        <v>254.72735700134319</v>
      </c>
      <c r="O2" s="47">
        <v>72002.52</v>
      </c>
      <c r="P2" s="47">
        <v>1.765663119623351</v>
      </c>
      <c r="Q2" s="47">
        <v>2</v>
      </c>
      <c r="R2" s="47">
        <v>2</v>
      </c>
      <c r="S2" s="48" t="s">
        <v>13</v>
      </c>
    </row>
    <row r="3" spans="2:19" hidden="1" x14ac:dyDescent="0.3">
      <c r="B3" s="49" t="s">
        <v>23</v>
      </c>
      <c r="C3" s="50">
        <v>2</v>
      </c>
      <c r="D3" s="50">
        <v>60</v>
      </c>
      <c r="E3" s="51">
        <v>6.6911861790256572E-2</v>
      </c>
      <c r="F3" s="52">
        <v>72001.156479120255</v>
      </c>
      <c r="G3" s="50">
        <v>8</v>
      </c>
      <c r="H3" s="50">
        <f t="shared" ref="H3:H43" si="0">+I3-G3</f>
        <v>3</v>
      </c>
      <c r="I3" s="50">
        <v>11</v>
      </c>
      <c r="J3" s="50">
        <v>10</v>
      </c>
      <c r="K3" s="53">
        <f t="shared" ref="K3:K43" si="1">+J3/I3</f>
        <v>0.90909090909090906</v>
      </c>
      <c r="L3" s="54">
        <v>266.49993155262132</v>
      </c>
      <c r="M3" s="54">
        <v>266.49993094089189</v>
      </c>
      <c r="N3" s="54">
        <v>284.33193748712182</v>
      </c>
      <c r="O3" s="54">
        <v>72001.16</v>
      </c>
      <c r="P3" s="54">
        <v>0.61172946023325303</v>
      </c>
      <c r="Q3" s="54">
        <v>2</v>
      </c>
      <c r="R3" s="54">
        <v>2</v>
      </c>
      <c r="S3" s="55" t="s">
        <v>13</v>
      </c>
    </row>
    <row r="4" spans="2:19" hidden="1" x14ac:dyDescent="0.3">
      <c r="B4" s="5" t="s">
        <v>23</v>
      </c>
      <c r="C4" s="6">
        <v>2</v>
      </c>
      <c r="D4" s="6">
        <v>120</v>
      </c>
      <c r="E4" s="7">
        <v>1.127632518601525E-2</v>
      </c>
      <c r="F4" s="8">
        <v>3.9416379928588872</v>
      </c>
      <c r="G4" s="6">
        <v>8</v>
      </c>
      <c r="H4" s="6">
        <f t="shared" si="0"/>
        <v>0</v>
      </c>
      <c r="I4" s="6">
        <v>8</v>
      </c>
      <c r="J4" s="6">
        <v>8</v>
      </c>
      <c r="K4" s="35">
        <f t="shared" si="1"/>
        <v>1</v>
      </c>
      <c r="L4" s="9">
        <v>286.93753178349289</v>
      </c>
      <c r="M4" s="9">
        <v>286.93753144656858</v>
      </c>
      <c r="N4" s="9">
        <v>290.17313235923262</v>
      </c>
      <c r="O4" s="9">
        <v>3.94</v>
      </c>
      <c r="P4" s="9">
        <v>0.33692437837601302</v>
      </c>
      <c r="Q4" s="9">
        <v>2</v>
      </c>
      <c r="R4" s="9">
        <v>2</v>
      </c>
      <c r="S4" s="10" t="s">
        <v>13</v>
      </c>
    </row>
    <row r="5" spans="2:19" x14ac:dyDescent="0.3">
      <c r="B5" s="49" t="s">
        <v>23</v>
      </c>
      <c r="C5" s="50">
        <v>3</v>
      </c>
      <c r="D5" s="50">
        <v>30</v>
      </c>
      <c r="E5" s="51">
        <v>0.47139766263216099</v>
      </c>
      <c r="F5" s="52">
        <v>72000.467958927155</v>
      </c>
      <c r="G5" s="50">
        <v>8</v>
      </c>
      <c r="H5" s="50">
        <f t="shared" si="0"/>
        <v>19</v>
      </c>
      <c r="I5" s="50">
        <v>27</v>
      </c>
      <c r="J5" s="50">
        <v>15</v>
      </c>
      <c r="K5" s="53">
        <f t="shared" si="1"/>
        <v>0.55555555555555558</v>
      </c>
      <c r="L5" s="54">
        <v>176.94169329313701</v>
      </c>
      <c r="M5" s="54">
        <v>176.94169210198771</v>
      </c>
      <c r="N5" s="54">
        <v>260.35159218104423</v>
      </c>
      <c r="O5" s="54">
        <v>72000.47</v>
      </c>
      <c r="P5" s="54">
        <v>1.1911492562633861</v>
      </c>
      <c r="Q5" s="54">
        <v>3</v>
      </c>
      <c r="R5" s="54">
        <v>3</v>
      </c>
      <c r="S5" s="55" t="s">
        <v>13</v>
      </c>
    </row>
    <row r="6" spans="2:19" hidden="1" x14ac:dyDescent="0.3">
      <c r="B6" s="5" t="s">
        <v>23</v>
      </c>
      <c r="C6" s="6">
        <v>3</v>
      </c>
      <c r="D6" s="6">
        <v>60</v>
      </c>
      <c r="E6" s="7">
        <v>1.2598973087485751E-2</v>
      </c>
      <c r="F6" s="8">
        <v>34.914935827255249</v>
      </c>
      <c r="G6" s="6">
        <v>8</v>
      </c>
      <c r="H6" s="6">
        <f t="shared" si="0"/>
        <v>0</v>
      </c>
      <c r="I6" s="6">
        <v>8</v>
      </c>
      <c r="J6" s="6">
        <v>8</v>
      </c>
      <c r="K6" s="35">
        <f t="shared" si="1"/>
        <v>1</v>
      </c>
      <c r="L6" s="9">
        <v>283.19026907770859</v>
      </c>
      <c r="M6" s="9">
        <v>283.19026870224161</v>
      </c>
      <c r="N6" s="9">
        <v>286.75817527625901</v>
      </c>
      <c r="O6" s="9">
        <v>34.92</v>
      </c>
      <c r="P6" s="9">
        <v>0.37546706621507647</v>
      </c>
      <c r="Q6" s="9">
        <v>3</v>
      </c>
      <c r="R6" s="9">
        <v>3</v>
      </c>
      <c r="S6" s="10" t="s">
        <v>13</v>
      </c>
    </row>
    <row r="7" spans="2:19" ht="15" hidden="1" thickBot="1" x14ac:dyDescent="0.35">
      <c r="B7" s="11" t="s">
        <v>23</v>
      </c>
      <c r="C7" s="12">
        <v>3</v>
      </c>
      <c r="D7" s="12">
        <v>120</v>
      </c>
      <c r="E7" s="13">
        <v>7.2149786925920006E-3</v>
      </c>
      <c r="F7" s="14">
        <v>6.7496511936187744</v>
      </c>
      <c r="G7" s="12">
        <v>8</v>
      </c>
      <c r="H7" s="12">
        <f t="shared" si="0"/>
        <v>0</v>
      </c>
      <c r="I7" s="12">
        <v>8</v>
      </c>
      <c r="J7" s="12">
        <v>8</v>
      </c>
      <c r="K7" s="40">
        <f t="shared" si="1"/>
        <v>1</v>
      </c>
      <c r="L7" s="15">
        <v>288.09453667950709</v>
      </c>
      <c r="M7" s="15">
        <v>288.09453641752788</v>
      </c>
      <c r="N7" s="15">
        <v>290.17313235923262</v>
      </c>
      <c r="O7" s="15">
        <v>6.75</v>
      </c>
      <c r="P7" s="15">
        <v>0.26197915095618368</v>
      </c>
      <c r="Q7" s="15">
        <v>3</v>
      </c>
      <c r="R7" s="15">
        <v>3</v>
      </c>
      <c r="S7" s="16" t="s">
        <v>13</v>
      </c>
    </row>
    <row r="8" spans="2:19" hidden="1" x14ac:dyDescent="0.3">
      <c r="B8" s="42" t="s">
        <v>24</v>
      </c>
      <c r="C8" s="43">
        <v>2</v>
      </c>
      <c r="D8" s="43">
        <v>30</v>
      </c>
      <c r="E8" s="44">
        <v>6.6296139590795763E-2</v>
      </c>
      <c r="F8" s="45">
        <v>72000.266620159149</v>
      </c>
      <c r="G8" s="43">
        <v>8</v>
      </c>
      <c r="H8" s="43">
        <f t="shared" si="0"/>
        <v>3</v>
      </c>
      <c r="I8" s="43">
        <v>11</v>
      </c>
      <c r="J8" s="43">
        <v>10</v>
      </c>
      <c r="K8" s="46">
        <f t="shared" si="1"/>
        <v>0.90909090909090906</v>
      </c>
      <c r="L8" s="47">
        <v>265.11415104325158</v>
      </c>
      <c r="M8" s="47">
        <v>265.11415010092918</v>
      </c>
      <c r="N8" s="47">
        <v>282.69019480351562</v>
      </c>
      <c r="O8" s="47">
        <v>72000.27</v>
      </c>
      <c r="P8" s="47">
        <v>0.94232237662954788</v>
      </c>
      <c r="Q8" s="47">
        <v>2</v>
      </c>
      <c r="R8" s="47">
        <v>2</v>
      </c>
      <c r="S8" s="48" t="s">
        <v>14</v>
      </c>
    </row>
    <row r="9" spans="2:19" hidden="1" x14ac:dyDescent="0.3">
      <c r="B9" s="17" t="s">
        <v>24</v>
      </c>
      <c r="C9" s="18">
        <v>2</v>
      </c>
      <c r="D9" s="18">
        <v>60</v>
      </c>
      <c r="E9" s="19">
        <v>1.9226499007326089E-2</v>
      </c>
      <c r="F9" s="20">
        <v>6.7420368194580078</v>
      </c>
      <c r="G9" s="18">
        <v>8</v>
      </c>
      <c r="H9" s="6">
        <f t="shared" si="0"/>
        <v>0</v>
      </c>
      <c r="I9" s="18">
        <v>8</v>
      </c>
      <c r="J9" s="18">
        <v>8</v>
      </c>
      <c r="K9" s="35">
        <f t="shared" si="1"/>
        <v>1</v>
      </c>
      <c r="L9" s="21">
        <v>286.00377779661522</v>
      </c>
      <c r="M9" s="21">
        <v>286.00377726564881</v>
      </c>
      <c r="N9" s="21">
        <v>291.50262860533832</v>
      </c>
      <c r="O9" s="21">
        <v>6.74</v>
      </c>
      <c r="P9" s="21">
        <v>0.53096643891904638</v>
      </c>
      <c r="Q9" s="21">
        <v>2</v>
      </c>
      <c r="R9" s="21">
        <v>2</v>
      </c>
      <c r="S9" s="22" t="s">
        <v>14</v>
      </c>
    </row>
    <row r="10" spans="2:19" hidden="1" x14ac:dyDescent="0.3">
      <c r="B10" s="17" t="s">
        <v>24</v>
      </c>
      <c r="C10" s="18">
        <v>2</v>
      </c>
      <c r="D10" s="18">
        <v>120</v>
      </c>
      <c r="E10" s="19">
        <v>5.378466749709849E-3</v>
      </c>
      <c r="F10" s="20">
        <v>6.5969390869140616</v>
      </c>
      <c r="G10" s="18">
        <v>8</v>
      </c>
      <c r="H10" s="6">
        <f t="shared" si="0"/>
        <v>0</v>
      </c>
      <c r="I10" s="18">
        <v>8</v>
      </c>
      <c r="J10" s="18">
        <v>8</v>
      </c>
      <c r="K10" s="35">
        <f t="shared" si="1"/>
        <v>1</v>
      </c>
      <c r="L10" s="21">
        <v>291.64748834833358</v>
      </c>
      <c r="M10" s="21">
        <v>291.64748811940183</v>
      </c>
      <c r="N10" s="21">
        <v>293.21610443688837</v>
      </c>
      <c r="O10" s="21">
        <v>6.6</v>
      </c>
      <c r="P10" s="21">
        <v>0.22893177460732639</v>
      </c>
      <c r="Q10" s="21">
        <v>2</v>
      </c>
      <c r="R10" s="21">
        <v>2</v>
      </c>
      <c r="S10" s="22" t="s">
        <v>14</v>
      </c>
    </row>
    <row r="11" spans="2:19" x14ac:dyDescent="0.3">
      <c r="B11" s="17" t="s">
        <v>24</v>
      </c>
      <c r="C11" s="18">
        <v>3</v>
      </c>
      <c r="D11" s="18">
        <v>30</v>
      </c>
      <c r="E11" s="19">
        <v>2.9186780981475719E-2</v>
      </c>
      <c r="F11" s="20">
        <v>79.765532970428467</v>
      </c>
      <c r="G11" s="18">
        <v>8</v>
      </c>
      <c r="H11" s="6">
        <f t="shared" si="0"/>
        <v>1</v>
      </c>
      <c r="I11" s="18">
        <v>9</v>
      </c>
      <c r="J11" s="18">
        <v>9</v>
      </c>
      <c r="K11" s="35">
        <f t="shared" si="1"/>
        <v>1</v>
      </c>
      <c r="L11" s="21">
        <v>277.30210946518872</v>
      </c>
      <c r="M11" s="21">
        <v>277.30210882100857</v>
      </c>
      <c r="N11" s="21">
        <v>285.3956647368687</v>
      </c>
      <c r="O11" s="21">
        <v>79.77</v>
      </c>
      <c r="P11" s="21">
        <v>0.64418010724726926</v>
      </c>
      <c r="Q11" s="21">
        <v>3</v>
      </c>
      <c r="R11" s="21">
        <v>3</v>
      </c>
      <c r="S11" s="22" t="s">
        <v>14</v>
      </c>
    </row>
    <row r="12" spans="2:19" hidden="1" x14ac:dyDescent="0.3">
      <c r="B12" s="17" t="s">
        <v>24</v>
      </c>
      <c r="C12" s="18">
        <v>3</v>
      </c>
      <c r="D12" s="18">
        <v>60</v>
      </c>
      <c r="E12" s="19">
        <v>2.265202673885032E-2</v>
      </c>
      <c r="F12" s="20">
        <v>18.605968952178959</v>
      </c>
      <c r="G12" s="18">
        <v>8</v>
      </c>
      <c r="H12" s="6">
        <f t="shared" si="0"/>
        <v>0</v>
      </c>
      <c r="I12" s="18">
        <v>8</v>
      </c>
      <c r="J12" s="18">
        <v>8</v>
      </c>
      <c r="K12" s="35">
        <f t="shared" si="1"/>
        <v>1</v>
      </c>
      <c r="L12" s="21">
        <v>285.04576456716012</v>
      </c>
      <c r="M12" s="21">
        <v>285.04576416296851</v>
      </c>
      <c r="N12" s="21">
        <v>291.5026284345841</v>
      </c>
      <c r="O12" s="21">
        <v>18.61</v>
      </c>
      <c r="P12" s="21">
        <v>0.40419162797628361</v>
      </c>
      <c r="Q12" s="21">
        <v>3</v>
      </c>
      <c r="R12" s="21">
        <v>3</v>
      </c>
      <c r="S12" s="22" t="s">
        <v>14</v>
      </c>
    </row>
    <row r="13" spans="2:19" ht="15" hidden="1" thickBot="1" x14ac:dyDescent="0.35">
      <c r="B13" s="23" t="s">
        <v>24</v>
      </c>
      <c r="C13" s="24">
        <v>3</v>
      </c>
      <c r="D13" s="24">
        <v>120</v>
      </c>
      <c r="E13" s="25">
        <v>9.2773835243747989E-3</v>
      </c>
      <c r="F13" s="26">
        <v>17.447933912277222</v>
      </c>
      <c r="G13" s="24">
        <v>8</v>
      </c>
      <c r="H13" s="12">
        <f t="shared" si="0"/>
        <v>0</v>
      </c>
      <c r="I13" s="24">
        <v>8</v>
      </c>
      <c r="J13" s="24">
        <v>8</v>
      </c>
      <c r="K13" s="40">
        <f t="shared" si="1"/>
        <v>1</v>
      </c>
      <c r="L13" s="27">
        <v>290.52083147672528</v>
      </c>
      <c r="M13" s="27">
        <v>290.52083126343729</v>
      </c>
      <c r="N13" s="27">
        <v>293.21610443688837</v>
      </c>
      <c r="O13" s="27">
        <v>17.45</v>
      </c>
      <c r="P13" s="27">
        <v>0.21328794541560081</v>
      </c>
      <c r="Q13" s="27">
        <v>3</v>
      </c>
      <c r="R13" s="27">
        <v>3</v>
      </c>
      <c r="S13" s="28" t="s">
        <v>14</v>
      </c>
    </row>
    <row r="14" spans="2:19" hidden="1" x14ac:dyDescent="0.3">
      <c r="B14" s="42" t="s">
        <v>25</v>
      </c>
      <c r="C14" s="43">
        <v>2</v>
      </c>
      <c r="D14" s="43">
        <v>30</v>
      </c>
      <c r="E14" s="44">
        <v>0.12667417682188231</v>
      </c>
      <c r="F14" s="45">
        <v>72000.778833150864</v>
      </c>
      <c r="G14" s="43">
        <v>8</v>
      </c>
      <c r="H14" s="43">
        <f t="shared" si="0"/>
        <v>11</v>
      </c>
      <c r="I14" s="43">
        <v>19</v>
      </c>
      <c r="J14" s="43">
        <v>11</v>
      </c>
      <c r="K14" s="46">
        <f t="shared" si="1"/>
        <v>0.57894736842105265</v>
      </c>
      <c r="L14" s="47">
        <v>133.06504299450171</v>
      </c>
      <c r="M14" s="47">
        <v>133.06504205252881</v>
      </c>
      <c r="N14" s="47">
        <v>149.92094671830199</v>
      </c>
      <c r="O14" s="47">
        <v>72000.78</v>
      </c>
      <c r="P14" s="47">
        <v>0.94197290869144301</v>
      </c>
      <c r="Q14" s="47">
        <v>2</v>
      </c>
      <c r="R14" s="47">
        <v>2</v>
      </c>
      <c r="S14" s="48" t="s">
        <v>15</v>
      </c>
    </row>
    <row r="15" spans="2:19" s="4" customFormat="1" hidden="1" x14ac:dyDescent="0.3">
      <c r="B15" s="5" t="s">
        <v>25</v>
      </c>
      <c r="C15" s="6">
        <v>2</v>
      </c>
      <c r="D15" s="6">
        <v>60</v>
      </c>
      <c r="E15" s="7">
        <v>2.9979030296127491E-2</v>
      </c>
      <c r="F15" s="8">
        <v>334.94374394416809</v>
      </c>
      <c r="G15" s="6">
        <v>8</v>
      </c>
      <c r="H15" s="6">
        <f t="shared" si="0"/>
        <v>1</v>
      </c>
      <c r="I15" s="6">
        <v>9</v>
      </c>
      <c r="J15" s="6">
        <v>9</v>
      </c>
      <c r="K15" s="35">
        <f t="shared" si="1"/>
        <v>1</v>
      </c>
      <c r="L15" s="9">
        <v>153.57237986826459</v>
      </c>
      <c r="M15" s="9">
        <v>153.57237945341569</v>
      </c>
      <c r="N15" s="9">
        <v>158.17633046969809</v>
      </c>
      <c r="O15" s="9">
        <v>334.94</v>
      </c>
      <c r="P15" s="9">
        <v>0.41484886247482661</v>
      </c>
      <c r="Q15" s="9">
        <v>2</v>
      </c>
      <c r="R15" s="9">
        <v>2</v>
      </c>
      <c r="S15" s="10" t="s">
        <v>15</v>
      </c>
    </row>
    <row r="16" spans="2:19" hidden="1" x14ac:dyDescent="0.3">
      <c r="B16" s="17" t="s">
        <v>25</v>
      </c>
      <c r="C16" s="18">
        <v>2</v>
      </c>
      <c r="D16" s="18">
        <v>120</v>
      </c>
      <c r="E16" s="19">
        <v>1.5813847649404151E-2</v>
      </c>
      <c r="F16" s="20">
        <v>5.5484700202941886</v>
      </c>
      <c r="G16" s="18">
        <v>8</v>
      </c>
      <c r="H16" s="6">
        <f t="shared" si="0"/>
        <v>0</v>
      </c>
      <c r="I16" s="18">
        <v>8</v>
      </c>
      <c r="J16" s="18">
        <v>8</v>
      </c>
      <c r="K16" s="35">
        <f t="shared" si="1"/>
        <v>1</v>
      </c>
      <c r="L16" s="21">
        <v>157.60485754638731</v>
      </c>
      <c r="M16" s="21">
        <v>157.60485726613439</v>
      </c>
      <c r="N16" s="21">
        <v>160.09719646774721</v>
      </c>
      <c r="O16" s="21">
        <v>5.55</v>
      </c>
      <c r="P16" s="21">
        <v>0.28025288450265801</v>
      </c>
      <c r="Q16" s="21">
        <v>2</v>
      </c>
      <c r="R16" s="21">
        <v>2</v>
      </c>
      <c r="S16" s="22" t="s">
        <v>15</v>
      </c>
    </row>
    <row r="17" spans="2:19" x14ac:dyDescent="0.3">
      <c r="B17" s="29" t="s">
        <v>25</v>
      </c>
      <c r="C17" s="30">
        <v>3</v>
      </c>
      <c r="D17" s="30">
        <v>30</v>
      </c>
      <c r="E17" s="56">
        <v>2.9959854179662931E-2</v>
      </c>
      <c r="F17" s="32">
        <v>1729.2103021144869</v>
      </c>
      <c r="G17" s="30">
        <v>8</v>
      </c>
      <c r="H17" s="30">
        <f t="shared" si="0"/>
        <v>6</v>
      </c>
      <c r="I17" s="30">
        <v>14</v>
      </c>
      <c r="J17" s="30">
        <v>10</v>
      </c>
      <c r="K17" s="41">
        <f t="shared" si="1"/>
        <v>0.7142857142857143</v>
      </c>
      <c r="L17" s="33">
        <v>148.2152870542379</v>
      </c>
      <c r="M17" s="33">
        <v>148.21528626132431</v>
      </c>
      <c r="N17" s="33">
        <v>152.65579462491061</v>
      </c>
      <c r="O17" s="33">
        <v>1729.21</v>
      </c>
      <c r="P17" s="33">
        <v>0.79291357859782718</v>
      </c>
      <c r="Q17" s="33">
        <v>3</v>
      </c>
      <c r="R17" s="33">
        <v>3</v>
      </c>
      <c r="S17" s="34" t="s">
        <v>15</v>
      </c>
    </row>
    <row r="18" spans="2:19" hidden="1" x14ac:dyDescent="0.3">
      <c r="B18" s="17" t="s">
        <v>25</v>
      </c>
      <c r="C18" s="18">
        <v>3</v>
      </c>
      <c r="D18" s="18">
        <v>60</v>
      </c>
      <c r="E18" s="19">
        <v>1.551685483624226E-2</v>
      </c>
      <c r="F18" s="20">
        <v>23.1944580078125</v>
      </c>
      <c r="G18" s="18">
        <v>8</v>
      </c>
      <c r="H18" s="6">
        <f t="shared" si="0"/>
        <v>0</v>
      </c>
      <c r="I18" s="18">
        <v>8</v>
      </c>
      <c r="J18" s="18">
        <v>8</v>
      </c>
      <c r="K18" s="35">
        <f t="shared" si="1"/>
        <v>1</v>
      </c>
      <c r="L18" s="21">
        <v>156.48277539129569</v>
      </c>
      <c r="M18" s="21">
        <v>156.4827750463914</v>
      </c>
      <c r="N18" s="21">
        <v>158.9108955511586</v>
      </c>
      <c r="O18" s="21">
        <v>23.19</v>
      </c>
      <c r="P18" s="21">
        <v>0.34490435157016341</v>
      </c>
      <c r="Q18" s="21">
        <v>3</v>
      </c>
      <c r="R18" s="21">
        <v>3</v>
      </c>
      <c r="S18" s="22" t="s">
        <v>15</v>
      </c>
    </row>
    <row r="19" spans="2:19" ht="15" hidden="1" thickBot="1" x14ac:dyDescent="0.35">
      <c r="B19" s="23" t="s">
        <v>25</v>
      </c>
      <c r="C19" s="24">
        <v>3</v>
      </c>
      <c r="D19" s="24">
        <v>120</v>
      </c>
      <c r="E19" s="25">
        <v>6.8077969206684066E-3</v>
      </c>
      <c r="F19" s="26">
        <v>18.24907302856445</v>
      </c>
      <c r="G19" s="24">
        <v>8</v>
      </c>
      <c r="H19" s="12">
        <f t="shared" si="0"/>
        <v>0</v>
      </c>
      <c r="I19" s="24">
        <v>8</v>
      </c>
      <c r="J19" s="24">
        <v>8</v>
      </c>
      <c r="K19" s="40">
        <f t="shared" si="1"/>
        <v>1</v>
      </c>
      <c r="L19" s="27">
        <v>159.01465715983821</v>
      </c>
      <c r="M19" s="27">
        <v>159.0146569756472</v>
      </c>
      <c r="N19" s="27">
        <v>160.09719646774721</v>
      </c>
      <c r="O19" s="27">
        <v>18.25</v>
      </c>
      <c r="P19" s="27">
        <v>0.18419097022269959</v>
      </c>
      <c r="Q19" s="27">
        <v>3</v>
      </c>
      <c r="R19" s="27">
        <v>3</v>
      </c>
      <c r="S19" s="28" t="s">
        <v>15</v>
      </c>
    </row>
    <row r="20" spans="2:19" hidden="1" x14ac:dyDescent="0.3">
      <c r="B20" s="42" t="s">
        <v>26</v>
      </c>
      <c r="C20" s="43">
        <v>2</v>
      </c>
      <c r="D20" s="43">
        <v>30</v>
      </c>
      <c r="E20" s="44">
        <v>9.2124128923619153E-2</v>
      </c>
      <c r="F20" s="45">
        <v>72001.367854833603</v>
      </c>
      <c r="G20" s="43">
        <v>6</v>
      </c>
      <c r="H20" s="43">
        <f t="shared" si="0"/>
        <v>9</v>
      </c>
      <c r="I20" s="43">
        <v>15</v>
      </c>
      <c r="J20" s="43">
        <v>11</v>
      </c>
      <c r="K20" s="46">
        <f t="shared" si="1"/>
        <v>0.73333333333333328</v>
      </c>
      <c r="L20" s="47">
        <v>82.22494929712343</v>
      </c>
      <c r="M20" s="47">
        <v>82.224948201531319</v>
      </c>
      <c r="N20" s="47">
        <v>89.799849930387097</v>
      </c>
      <c r="O20" s="47">
        <v>72001.37</v>
      </c>
      <c r="P20" s="47">
        <v>1.095592118123466</v>
      </c>
      <c r="Q20" s="47">
        <v>2</v>
      </c>
      <c r="R20" s="47">
        <v>2</v>
      </c>
      <c r="S20" s="48" t="s">
        <v>16</v>
      </c>
    </row>
    <row r="21" spans="2:19" hidden="1" x14ac:dyDescent="0.3">
      <c r="B21" s="17" t="s">
        <v>26</v>
      </c>
      <c r="C21" s="18">
        <v>2</v>
      </c>
      <c r="D21" s="18">
        <v>60</v>
      </c>
      <c r="E21" s="19">
        <v>2.9567354177040091E-2</v>
      </c>
      <c r="F21" s="20">
        <v>53.747222900390618</v>
      </c>
      <c r="G21" s="18">
        <v>6</v>
      </c>
      <c r="H21" s="6">
        <f t="shared" si="0"/>
        <v>3</v>
      </c>
      <c r="I21" s="18">
        <v>9</v>
      </c>
      <c r="J21" s="18">
        <v>8</v>
      </c>
      <c r="K21" s="35">
        <f t="shared" si="1"/>
        <v>0.88888888888888884</v>
      </c>
      <c r="L21" s="21">
        <v>94.622910823590772</v>
      </c>
      <c r="M21" s="21">
        <v>94.622910237780701</v>
      </c>
      <c r="N21" s="21">
        <v>97.420659338043436</v>
      </c>
      <c r="O21" s="21">
        <v>53.75</v>
      </c>
      <c r="P21" s="21">
        <v>0.58581006693234927</v>
      </c>
      <c r="Q21" s="21">
        <v>2</v>
      </c>
      <c r="R21" s="21">
        <v>2</v>
      </c>
      <c r="S21" s="22" t="s">
        <v>16</v>
      </c>
    </row>
    <row r="22" spans="2:19" hidden="1" x14ac:dyDescent="0.3">
      <c r="B22" s="17" t="s">
        <v>26</v>
      </c>
      <c r="C22" s="18">
        <v>2</v>
      </c>
      <c r="D22" s="18">
        <v>120</v>
      </c>
      <c r="E22" s="19">
        <v>8.6081300182824731E-3</v>
      </c>
      <c r="F22" s="20">
        <v>6.7487120628356934</v>
      </c>
      <c r="G22" s="18">
        <v>6</v>
      </c>
      <c r="H22" s="6">
        <f t="shared" si="0"/>
        <v>0</v>
      </c>
      <c r="I22" s="18">
        <v>6</v>
      </c>
      <c r="J22" s="18">
        <v>6</v>
      </c>
      <c r="K22" s="35">
        <f t="shared" si="1"/>
        <v>1</v>
      </c>
      <c r="L22" s="21">
        <v>97.59015280526009</v>
      </c>
      <c r="M22" s="21">
        <v>97.590152589004703</v>
      </c>
      <c r="N22" s="21">
        <v>98.430221310994881</v>
      </c>
      <c r="O22" s="21">
        <v>6.75</v>
      </c>
      <c r="P22" s="21">
        <v>0.21625539070210051</v>
      </c>
      <c r="Q22" s="21">
        <v>2</v>
      </c>
      <c r="R22" s="21">
        <v>2</v>
      </c>
      <c r="S22" s="22" t="s">
        <v>16</v>
      </c>
    </row>
    <row r="23" spans="2:19" x14ac:dyDescent="0.3">
      <c r="B23" s="29" t="s">
        <v>26</v>
      </c>
      <c r="C23" s="30">
        <v>3</v>
      </c>
      <c r="D23" s="30">
        <v>30</v>
      </c>
      <c r="E23" s="31">
        <v>3.4006117770379082E-2</v>
      </c>
      <c r="F23" s="32">
        <v>72000.657582998276</v>
      </c>
      <c r="G23" s="30">
        <v>6</v>
      </c>
      <c r="H23" s="30">
        <f t="shared" si="0"/>
        <v>6</v>
      </c>
      <c r="I23" s="30">
        <v>12</v>
      </c>
      <c r="J23" s="30">
        <v>10</v>
      </c>
      <c r="K23" s="41">
        <f t="shared" si="1"/>
        <v>0.83333333333333337</v>
      </c>
      <c r="L23" s="33">
        <v>88.899666579155749</v>
      </c>
      <c r="M23" s="33">
        <v>88.899665922525628</v>
      </c>
      <c r="N23" s="33">
        <v>91.922798431634391</v>
      </c>
      <c r="O23" s="33">
        <v>72000.66</v>
      </c>
      <c r="P23" s="33">
        <v>0.6566301248600972</v>
      </c>
      <c r="Q23" s="33">
        <v>3</v>
      </c>
      <c r="R23" s="33">
        <v>3</v>
      </c>
      <c r="S23" s="34" t="s">
        <v>16</v>
      </c>
    </row>
    <row r="24" spans="2:19" hidden="1" x14ac:dyDescent="0.3">
      <c r="B24" s="17" t="s">
        <v>26</v>
      </c>
      <c r="C24" s="18">
        <v>3</v>
      </c>
      <c r="D24" s="18">
        <v>60</v>
      </c>
      <c r="E24" s="19">
        <v>1.118820708048774E-2</v>
      </c>
      <c r="F24" s="20">
        <v>15.40672707557678</v>
      </c>
      <c r="G24" s="18">
        <v>6</v>
      </c>
      <c r="H24" s="6">
        <f t="shared" si="0"/>
        <v>0</v>
      </c>
      <c r="I24" s="18">
        <v>6</v>
      </c>
      <c r="J24" s="18">
        <v>6</v>
      </c>
      <c r="K24" s="35">
        <f t="shared" si="1"/>
        <v>1</v>
      </c>
      <c r="L24" s="21">
        <v>96.498494639373448</v>
      </c>
      <c r="M24" s="21">
        <v>96.498494372532292</v>
      </c>
      <c r="N24" s="21">
        <v>97.578139510527464</v>
      </c>
      <c r="O24" s="21">
        <v>15.41</v>
      </c>
      <c r="P24" s="21">
        <v>0.26684116037915828</v>
      </c>
      <c r="Q24" s="21">
        <v>3</v>
      </c>
      <c r="R24" s="21">
        <v>3</v>
      </c>
      <c r="S24" s="22" t="s">
        <v>16</v>
      </c>
    </row>
    <row r="25" spans="2:19" ht="15" hidden="1" thickBot="1" x14ac:dyDescent="0.35">
      <c r="B25" s="23" t="s">
        <v>26</v>
      </c>
      <c r="C25" s="24">
        <v>3</v>
      </c>
      <c r="D25" s="24">
        <v>120</v>
      </c>
      <c r="E25" s="25">
        <v>6.7504824215778719E-3</v>
      </c>
      <c r="F25" s="26">
        <v>16.008202075958248</v>
      </c>
      <c r="G25" s="24">
        <v>6</v>
      </c>
      <c r="H25" s="12">
        <f t="shared" si="0"/>
        <v>0</v>
      </c>
      <c r="I25" s="24">
        <v>6</v>
      </c>
      <c r="J25" s="24">
        <v>6</v>
      </c>
      <c r="K25" s="40">
        <f t="shared" si="1"/>
        <v>1</v>
      </c>
      <c r="L25" s="27">
        <v>97.770225314297392</v>
      </c>
      <c r="M25" s="27">
        <v>97.770225124935294</v>
      </c>
      <c r="N25" s="27">
        <v>98.430221310994881</v>
      </c>
      <c r="O25" s="27">
        <v>16.010000000000002</v>
      </c>
      <c r="P25" s="27">
        <v>0.18936210129179801</v>
      </c>
      <c r="Q25" s="27">
        <v>3</v>
      </c>
      <c r="R25" s="27">
        <v>3</v>
      </c>
      <c r="S25" s="28" t="s">
        <v>16</v>
      </c>
    </row>
    <row r="26" spans="2:19" hidden="1" x14ac:dyDescent="0.3">
      <c r="B26" s="42" t="s">
        <v>18</v>
      </c>
      <c r="C26" s="43">
        <v>2</v>
      </c>
      <c r="D26" s="43">
        <v>30</v>
      </c>
      <c r="E26" s="44">
        <v>0.46075743995500218</v>
      </c>
      <c r="F26" s="45">
        <v>72001.058203220367</v>
      </c>
      <c r="G26" s="43">
        <v>6</v>
      </c>
      <c r="H26" s="43">
        <f t="shared" si="0"/>
        <v>19</v>
      </c>
      <c r="I26" s="43">
        <v>25</v>
      </c>
      <c r="J26" s="43">
        <v>11</v>
      </c>
      <c r="K26" s="46">
        <f t="shared" si="1"/>
        <v>0.44</v>
      </c>
      <c r="L26" s="47">
        <v>92.823470921791369</v>
      </c>
      <c r="M26" s="47">
        <v>92.82346956136665</v>
      </c>
      <c r="N26" s="47">
        <v>135.592573764203</v>
      </c>
      <c r="O26" s="47">
        <v>72001.06</v>
      </c>
      <c r="P26" s="47">
        <v>1.360424724110453</v>
      </c>
      <c r="Q26" s="47">
        <v>2</v>
      </c>
      <c r="R26" s="47">
        <v>2</v>
      </c>
      <c r="S26" s="48" t="s">
        <v>17</v>
      </c>
    </row>
    <row r="27" spans="2:19" hidden="1" x14ac:dyDescent="0.3">
      <c r="B27" s="17" t="s">
        <v>18</v>
      </c>
      <c r="C27" s="18">
        <v>2</v>
      </c>
      <c r="D27" s="18">
        <v>60</v>
      </c>
      <c r="E27" s="19">
        <v>2.632851187076982E-2</v>
      </c>
      <c r="F27" s="20">
        <v>68.643334150314331</v>
      </c>
      <c r="G27" s="18">
        <v>6</v>
      </c>
      <c r="H27" s="6">
        <f t="shared" si="0"/>
        <v>1</v>
      </c>
      <c r="I27" s="18">
        <v>7</v>
      </c>
      <c r="J27" s="18">
        <v>7</v>
      </c>
      <c r="K27" s="35">
        <f t="shared" si="1"/>
        <v>1</v>
      </c>
      <c r="L27" s="21">
        <v>147.55848273541361</v>
      </c>
      <c r="M27" s="21">
        <v>147.55848214380529</v>
      </c>
      <c r="N27" s="21">
        <v>151.44347739256131</v>
      </c>
      <c r="O27" s="21">
        <v>68.64</v>
      </c>
      <c r="P27" s="21">
        <v>0.59160821628444427</v>
      </c>
      <c r="Q27" s="21">
        <v>2</v>
      </c>
      <c r="R27" s="21">
        <v>2</v>
      </c>
      <c r="S27" s="22" t="s">
        <v>17</v>
      </c>
    </row>
    <row r="28" spans="2:19" hidden="1" x14ac:dyDescent="0.3">
      <c r="B28" s="17" t="s">
        <v>18</v>
      </c>
      <c r="C28" s="18">
        <v>2</v>
      </c>
      <c r="D28" s="18">
        <v>120</v>
      </c>
      <c r="E28" s="19">
        <v>4.8236894885576517E-3</v>
      </c>
      <c r="F28" s="20">
        <v>4.8213539123535156</v>
      </c>
      <c r="G28" s="18">
        <v>6</v>
      </c>
      <c r="H28" s="6">
        <f t="shared" si="0"/>
        <v>0</v>
      </c>
      <c r="I28" s="18">
        <v>6</v>
      </c>
      <c r="J28" s="18">
        <v>6</v>
      </c>
      <c r="K28" s="35">
        <f t="shared" si="1"/>
        <v>1</v>
      </c>
      <c r="L28" s="21">
        <v>152.1069083560416</v>
      </c>
      <c r="M28" s="21">
        <v>152.10690809164339</v>
      </c>
      <c r="N28" s="21">
        <v>152.84062458534211</v>
      </c>
      <c r="O28" s="21">
        <v>4.82</v>
      </c>
      <c r="P28" s="21">
        <v>0.26439818629001682</v>
      </c>
      <c r="Q28" s="21">
        <v>2</v>
      </c>
      <c r="R28" s="21">
        <v>2</v>
      </c>
      <c r="S28" s="22" t="s">
        <v>17</v>
      </c>
    </row>
    <row r="29" spans="2:19" x14ac:dyDescent="0.3">
      <c r="B29" s="49" t="s">
        <v>18</v>
      </c>
      <c r="C29" s="50">
        <v>3</v>
      </c>
      <c r="D29" s="50">
        <v>30</v>
      </c>
      <c r="E29" s="51">
        <v>0.2377191401795965</v>
      </c>
      <c r="F29" s="52">
        <v>72000.22065615654</v>
      </c>
      <c r="G29" s="50">
        <v>6</v>
      </c>
      <c r="H29" s="50">
        <f t="shared" si="0"/>
        <v>16</v>
      </c>
      <c r="I29" s="50">
        <v>22</v>
      </c>
      <c r="J29" s="50">
        <v>11</v>
      </c>
      <c r="K29" s="53">
        <f t="shared" si="1"/>
        <v>0.5</v>
      </c>
      <c r="L29" s="54">
        <v>110.0763190716239</v>
      </c>
      <c r="M29" s="54">
        <v>110.0763178445326</v>
      </c>
      <c r="N29" s="54">
        <v>136.2435654766708</v>
      </c>
      <c r="O29" s="54">
        <v>72000.22</v>
      </c>
      <c r="P29" s="54">
        <v>1.22709135376984</v>
      </c>
      <c r="Q29" s="54">
        <v>3</v>
      </c>
      <c r="R29" s="54">
        <v>3</v>
      </c>
      <c r="S29" s="55" t="s">
        <v>17</v>
      </c>
    </row>
    <row r="30" spans="2:19" hidden="1" x14ac:dyDescent="0.3">
      <c r="B30" s="17" t="s">
        <v>18</v>
      </c>
      <c r="C30" s="18">
        <v>3</v>
      </c>
      <c r="D30" s="18">
        <v>60</v>
      </c>
      <c r="E30" s="19">
        <v>5.7679986496658184E-3</v>
      </c>
      <c r="F30" s="20">
        <v>7.8531160354614258</v>
      </c>
      <c r="G30" s="18">
        <v>6</v>
      </c>
      <c r="H30" s="6">
        <f t="shared" si="0"/>
        <v>0</v>
      </c>
      <c r="I30" s="18">
        <v>6</v>
      </c>
      <c r="J30" s="18">
        <v>6</v>
      </c>
      <c r="K30" s="35">
        <f t="shared" si="1"/>
        <v>1</v>
      </c>
      <c r="L30" s="21">
        <v>150.89436120466391</v>
      </c>
      <c r="M30" s="21">
        <v>150.89436080920089</v>
      </c>
      <c r="N30" s="21">
        <v>151.76471927859049</v>
      </c>
      <c r="O30" s="21">
        <v>7.85</v>
      </c>
      <c r="P30" s="21">
        <v>0.39546303924670062</v>
      </c>
      <c r="Q30" s="21">
        <v>3</v>
      </c>
      <c r="R30" s="21">
        <v>3</v>
      </c>
      <c r="S30" s="22" t="s">
        <v>17</v>
      </c>
    </row>
    <row r="31" spans="2:19" ht="15" hidden="1" thickBot="1" x14ac:dyDescent="0.35">
      <c r="B31" s="23" t="s">
        <v>18</v>
      </c>
      <c r="C31" s="24">
        <v>3</v>
      </c>
      <c r="D31" s="24">
        <v>120</v>
      </c>
      <c r="E31" s="25">
        <v>2.575987599893663E-3</v>
      </c>
      <c r="F31" s="26">
        <v>7.8573489189147949</v>
      </c>
      <c r="G31" s="24">
        <v>6</v>
      </c>
      <c r="H31" s="12">
        <f t="shared" si="0"/>
        <v>0</v>
      </c>
      <c r="I31" s="24">
        <v>6</v>
      </c>
      <c r="J31" s="24">
        <v>6</v>
      </c>
      <c r="K31" s="40">
        <f t="shared" si="1"/>
        <v>1</v>
      </c>
      <c r="L31" s="27">
        <v>152.44792084162589</v>
      </c>
      <c r="M31" s="27">
        <v>152.44792063216411</v>
      </c>
      <c r="N31" s="27">
        <v>152.84062458534211</v>
      </c>
      <c r="O31" s="27">
        <v>7.86</v>
      </c>
      <c r="P31" s="27">
        <v>0.20946185987839111</v>
      </c>
      <c r="Q31" s="27">
        <v>3</v>
      </c>
      <c r="R31" s="27">
        <v>3</v>
      </c>
      <c r="S31" s="28" t="s">
        <v>17</v>
      </c>
    </row>
    <row r="32" spans="2:19" hidden="1" x14ac:dyDescent="0.3">
      <c r="B32" s="42" t="s">
        <v>20</v>
      </c>
      <c r="C32" s="43">
        <v>2</v>
      </c>
      <c r="D32" s="43">
        <v>30</v>
      </c>
      <c r="E32" s="44">
        <v>6.4687964926854941E-2</v>
      </c>
      <c r="F32" s="45">
        <v>72000.567899942398</v>
      </c>
      <c r="G32" s="43">
        <v>13</v>
      </c>
      <c r="H32" s="43">
        <f t="shared" si="0"/>
        <v>1</v>
      </c>
      <c r="I32" s="43">
        <v>14</v>
      </c>
      <c r="J32" s="43">
        <v>14</v>
      </c>
      <c r="K32" s="46">
        <f t="shared" si="1"/>
        <v>1</v>
      </c>
      <c r="L32" s="47">
        <v>140.30182368784929</v>
      </c>
      <c r="M32" s="47">
        <v>140.30182304788241</v>
      </c>
      <c r="N32" s="47">
        <v>149.37766245637769</v>
      </c>
      <c r="O32" s="47">
        <v>72000.570000000007</v>
      </c>
      <c r="P32" s="47">
        <v>0.63996691913411041</v>
      </c>
      <c r="Q32" s="47">
        <v>2</v>
      </c>
      <c r="R32" s="47">
        <v>2</v>
      </c>
      <c r="S32" s="48" t="s">
        <v>19</v>
      </c>
    </row>
    <row r="33" spans="2:19" hidden="1" x14ac:dyDescent="0.3">
      <c r="B33" s="17" t="s">
        <v>20</v>
      </c>
      <c r="C33" s="18">
        <v>2</v>
      </c>
      <c r="D33" s="18">
        <v>60</v>
      </c>
      <c r="E33" s="19">
        <v>2.58573179330072E-2</v>
      </c>
      <c r="F33" s="20">
        <v>52.489902019500732</v>
      </c>
      <c r="G33" s="18">
        <v>13</v>
      </c>
      <c r="H33" s="6">
        <f t="shared" si="0"/>
        <v>0</v>
      </c>
      <c r="I33" s="18">
        <v>13</v>
      </c>
      <c r="J33" s="18">
        <v>13</v>
      </c>
      <c r="K33" s="35">
        <f t="shared" si="1"/>
        <v>1</v>
      </c>
      <c r="L33" s="21">
        <v>148.2640960545454</v>
      </c>
      <c r="M33" s="21">
        <v>148.2640957137836</v>
      </c>
      <c r="N33" s="21">
        <v>152.09780757470469</v>
      </c>
      <c r="O33" s="21">
        <v>52.49</v>
      </c>
      <c r="P33" s="21">
        <v>0.34076184031807699</v>
      </c>
      <c r="Q33" s="21">
        <v>2</v>
      </c>
      <c r="R33" s="21">
        <v>2</v>
      </c>
      <c r="S33" s="22" t="s">
        <v>19</v>
      </c>
    </row>
    <row r="34" spans="2:19" hidden="1" x14ac:dyDescent="0.3">
      <c r="B34" s="17" t="s">
        <v>20</v>
      </c>
      <c r="C34" s="18">
        <v>2</v>
      </c>
      <c r="D34" s="18">
        <v>120</v>
      </c>
      <c r="E34" s="19">
        <v>2.58573179330072E-2</v>
      </c>
      <c r="F34" s="20">
        <v>52.093994140625</v>
      </c>
      <c r="G34" s="18">
        <v>13</v>
      </c>
      <c r="H34" s="6">
        <f t="shared" si="0"/>
        <v>0</v>
      </c>
      <c r="I34" s="18">
        <v>13</v>
      </c>
      <c r="J34" s="18">
        <v>13</v>
      </c>
      <c r="K34" s="35">
        <f t="shared" si="1"/>
        <v>1</v>
      </c>
      <c r="L34" s="21">
        <v>148.2640960545454</v>
      </c>
      <c r="M34" s="21">
        <v>148.2640957137836</v>
      </c>
      <c r="N34" s="21">
        <v>152.09780757470469</v>
      </c>
      <c r="O34" s="21">
        <v>52.09</v>
      </c>
      <c r="P34" s="21">
        <v>0.34076184031807699</v>
      </c>
      <c r="Q34" s="21">
        <v>2</v>
      </c>
      <c r="R34" s="21">
        <v>2</v>
      </c>
      <c r="S34" s="22" t="s">
        <v>19</v>
      </c>
    </row>
    <row r="35" spans="2:19" x14ac:dyDescent="0.3">
      <c r="B35" s="49" t="s">
        <v>20</v>
      </c>
      <c r="C35" s="50">
        <v>3</v>
      </c>
      <c r="D35" s="50">
        <v>30</v>
      </c>
      <c r="E35" s="51">
        <v>0.14920709813045879</v>
      </c>
      <c r="F35" s="52">
        <v>72002.147003173828</v>
      </c>
      <c r="G35" s="50">
        <v>13</v>
      </c>
      <c r="H35" s="50">
        <f t="shared" si="0"/>
        <v>8</v>
      </c>
      <c r="I35" s="50">
        <v>21</v>
      </c>
      <c r="J35" s="50">
        <v>17</v>
      </c>
      <c r="K35" s="53">
        <f t="shared" si="1"/>
        <v>0.80952380952380953</v>
      </c>
      <c r="L35" s="54">
        <v>124.7010011679474</v>
      </c>
      <c r="M35" s="54">
        <v>124.70099999743439</v>
      </c>
      <c r="N35" s="54">
        <v>143.30727434101789</v>
      </c>
      <c r="O35" s="54">
        <v>72002.149999999994</v>
      </c>
      <c r="P35" s="54">
        <v>1.170513090702848</v>
      </c>
      <c r="Q35" s="54">
        <v>3</v>
      </c>
      <c r="R35" s="54">
        <v>3</v>
      </c>
      <c r="S35" s="55" t="s">
        <v>19</v>
      </c>
    </row>
    <row r="36" spans="2:19" hidden="1" x14ac:dyDescent="0.3">
      <c r="B36" s="17" t="s">
        <v>20</v>
      </c>
      <c r="C36" s="18">
        <v>3</v>
      </c>
      <c r="D36" s="18">
        <v>60</v>
      </c>
      <c r="E36" s="19">
        <v>2.909397070755234E-2</v>
      </c>
      <c r="F36" s="20">
        <v>43.851408958435059</v>
      </c>
      <c r="G36" s="18">
        <v>13</v>
      </c>
      <c r="H36" s="6">
        <f t="shared" si="0"/>
        <v>0</v>
      </c>
      <c r="I36" s="18">
        <v>13</v>
      </c>
      <c r="J36" s="18">
        <v>13</v>
      </c>
      <c r="K36" s="35">
        <f t="shared" si="1"/>
        <v>1</v>
      </c>
      <c r="L36" s="21">
        <v>145.8868760232539</v>
      </c>
      <c r="M36" s="21">
        <v>145.8868755970941</v>
      </c>
      <c r="N36" s="21">
        <v>150.13130408233229</v>
      </c>
      <c r="O36" s="21">
        <v>43.85</v>
      </c>
      <c r="P36" s="21">
        <v>0.42615980038832979</v>
      </c>
      <c r="Q36" s="21">
        <v>3</v>
      </c>
      <c r="R36" s="21">
        <v>3</v>
      </c>
      <c r="S36" s="22" t="s">
        <v>19</v>
      </c>
    </row>
    <row r="37" spans="2:19" ht="15" hidden="1" thickBot="1" x14ac:dyDescent="0.35">
      <c r="B37" s="23" t="s">
        <v>20</v>
      </c>
      <c r="C37" s="24">
        <v>3</v>
      </c>
      <c r="D37" s="24">
        <v>120</v>
      </c>
      <c r="E37" s="25">
        <v>2.6923017786901191E-2</v>
      </c>
      <c r="F37" s="26">
        <v>5.8253519535064697</v>
      </c>
      <c r="G37" s="24">
        <v>13</v>
      </c>
      <c r="H37" s="12">
        <f t="shared" si="0"/>
        <v>0</v>
      </c>
      <c r="I37" s="24">
        <v>13</v>
      </c>
      <c r="J37" s="24">
        <v>13</v>
      </c>
      <c r="K37" s="40">
        <f t="shared" si="1"/>
        <v>1</v>
      </c>
      <c r="L37" s="27">
        <v>148.18110848154819</v>
      </c>
      <c r="M37" s="27">
        <v>148.18110813933919</v>
      </c>
      <c r="N37" s="27">
        <v>152.1705907494574</v>
      </c>
      <c r="O37" s="27">
        <v>5.83</v>
      </c>
      <c r="P37" s="27">
        <v>0.34220898805135042</v>
      </c>
      <c r="Q37" s="27">
        <v>3</v>
      </c>
      <c r="R37" s="27">
        <v>3</v>
      </c>
      <c r="S37" s="28" t="s">
        <v>19</v>
      </c>
    </row>
    <row r="38" spans="2:19" hidden="1" x14ac:dyDescent="0.3">
      <c r="B38" s="17" t="s">
        <v>27</v>
      </c>
      <c r="C38" s="18">
        <v>2</v>
      </c>
      <c r="D38" s="18">
        <v>30</v>
      </c>
      <c r="E38" s="19">
        <v>2.9464375571837571E-2</v>
      </c>
      <c r="F38" s="20">
        <v>538.99877405166626</v>
      </c>
      <c r="G38" s="18">
        <v>4</v>
      </c>
      <c r="H38" s="6">
        <f t="shared" si="0"/>
        <v>3</v>
      </c>
      <c r="I38" s="18">
        <v>7</v>
      </c>
      <c r="J38" s="18">
        <v>7</v>
      </c>
      <c r="K38" s="35">
        <f t="shared" si="1"/>
        <v>1</v>
      </c>
      <c r="L38" s="21">
        <v>55.289342194136282</v>
      </c>
      <c r="M38" s="21">
        <v>55.289341575599387</v>
      </c>
      <c r="N38" s="21">
        <v>56.918407500902468</v>
      </c>
      <c r="O38" s="21">
        <v>539</v>
      </c>
      <c r="P38" s="21">
        <v>0.61853688941719276</v>
      </c>
      <c r="Q38" s="21">
        <v>2</v>
      </c>
      <c r="R38" s="21">
        <v>2</v>
      </c>
      <c r="S38" s="22" t="s">
        <v>21</v>
      </c>
    </row>
    <row r="39" spans="2:19" hidden="1" x14ac:dyDescent="0.3">
      <c r="B39" s="17" t="s">
        <v>27</v>
      </c>
      <c r="C39" s="18">
        <v>2</v>
      </c>
      <c r="D39" s="18">
        <v>60</v>
      </c>
      <c r="E39" s="19">
        <v>3.6891329000965411E-3</v>
      </c>
      <c r="F39" s="20">
        <v>8.3249938488006592</v>
      </c>
      <c r="G39" s="18">
        <v>4</v>
      </c>
      <c r="H39" s="6">
        <f t="shared" si="0"/>
        <v>0</v>
      </c>
      <c r="I39" s="18">
        <v>4</v>
      </c>
      <c r="J39" s="18">
        <v>4</v>
      </c>
      <c r="K39" s="35">
        <f t="shared" si="1"/>
        <v>1</v>
      </c>
      <c r="L39" s="21">
        <v>63.619081870327832</v>
      </c>
      <c r="M39" s="21">
        <v>63.619081633135309</v>
      </c>
      <c r="N39" s="21">
        <v>63.853780880262043</v>
      </c>
      <c r="O39" s="21">
        <v>8.33</v>
      </c>
      <c r="P39" s="21">
        <v>0.23719252270298441</v>
      </c>
      <c r="Q39" s="21">
        <v>2</v>
      </c>
      <c r="R39" s="21">
        <v>2</v>
      </c>
      <c r="S39" s="22" t="s">
        <v>21</v>
      </c>
    </row>
    <row r="40" spans="2:19" hidden="1" x14ac:dyDescent="0.3">
      <c r="B40" s="17" t="s">
        <v>27</v>
      </c>
      <c r="C40" s="18">
        <v>2</v>
      </c>
      <c r="D40" s="18">
        <v>120</v>
      </c>
      <c r="E40" s="19">
        <v>3.1955561410544589E-3</v>
      </c>
      <c r="F40" s="20">
        <v>8.3025658130645752</v>
      </c>
      <c r="G40" s="18">
        <v>4</v>
      </c>
      <c r="H40" s="6">
        <f t="shared" si="0"/>
        <v>0</v>
      </c>
      <c r="I40" s="18">
        <v>4</v>
      </c>
      <c r="J40" s="18">
        <v>4</v>
      </c>
      <c r="K40" s="35">
        <f t="shared" si="1"/>
        <v>1</v>
      </c>
      <c r="L40" s="21">
        <v>64.566210218590655</v>
      </c>
      <c r="M40" s="21">
        <v>64.566210092647964</v>
      </c>
      <c r="N40" s="21">
        <v>64.772535041814137</v>
      </c>
      <c r="O40" s="21">
        <v>8.3000000000000007</v>
      </c>
      <c r="P40" s="21">
        <v>0.12594268566489139</v>
      </c>
      <c r="Q40" s="21">
        <v>2</v>
      </c>
      <c r="R40" s="21">
        <v>2</v>
      </c>
      <c r="S40" s="22" t="s">
        <v>21</v>
      </c>
    </row>
    <row r="41" spans="2:19" x14ac:dyDescent="0.3">
      <c r="B41" s="17" t="s">
        <v>27</v>
      </c>
      <c r="C41" s="18">
        <v>3</v>
      </c>
      <c r="D41" s="18">
        <v>30</v>
      </c>
      <c r="E41" s="19">
        <v>2.681646889552295E-2</v>
      </c>
      <c r="F41" s="20">
        <v>479.93219494819641</v>
      </c>
      <c r="G41" s="18">
        <v>4</v>
      </c>
      <c r="H41" s="6">
        <f t="shared" si="0"/>
        <v>3</v>
      </c>
      <c r="I41" s="18">
        <v>7</v>
      </c>
      <c r="J41" s="18">
        <v>7</v>
      </c>
      <c r="K41" s="35">
        <f t="shared" si="1"/>
        <v>1</v>
      </c>
      <c r="L41" s="21">
        <v>56.229193588667748</v>
      </c>
      <c r="M41" s="21">
        <v>56.229193042735737</v>
      </c>
      <c r="N41" s="21">
        <v>57.737061448986623</v>
      </c>
      <c r="O41" s="21">
        <v>479.93</v>
      </c>
      <c r="P41" s="21">
        <v>0.54593201151429283</v>
      </c>
      <c r="Q41" s="21">
        <v>3</v>
      </c>
      <c r="R41" s="21">
        <v>3</v>
      </c>
      <c r="S41" s="22" t="s">
        <v>21</v>
      </c>
    </row>
    <row r="42" spans="2:19" hidden="1" x14ac:dyDescent="0.3">
      <c r="B42" s="17" t="s">
        <v>27</v>
      </c>
      <c r="C42" s="18">
        <v>3</v>
      </c>
      <c r="D42" s="18">
        <v>60</v>
      </c>
      <c r="E42" s="19">
        <v>3.053334131194151E-3</v>
      </c>
      <c r="F42" s="20">
        <v>16.833845853805538</v>
      </c>
      <c r="G42" s="18">
        <v>4</v>
      </c>
      <c r="H42" s="6">
        <f t="shared" si="0"/>
        <v>0</v>
      </c>
      <c r="I42" s="18">
        <v>4</v>
      </c>
      <c r="J42" s="18">
        <v>4</v>
      </c>
      <c r="K42" s="35">
        <f t="shared" si="1"/>
        <v>1</v>
      </c>
      <c r="L42" s="21">
        <v>63.65940765270939</v>
      </c>
      <c r="M42" s="21">
        <v>63.659407438757682</v>
      </c>
      <c r="N42" s="21">
        <v>63.853780880262043</v>
      </c>
      <c r="O42" s="21">
        <v>16.829999999999998</v>
      </c>
      <c r="P42" s="21">
        <v>0.2139517106273833</v>
      </c>
      <c r="Q42" s="21">
        <v>3</v>
      </c>
      <c r="R42" s="21">
        <v>3</v>
      </c>
      <c r="S42" s="22" t="s">
        <v>21</v>
      </c>
    </row>
    <row r="43" spans="2:19" ht="15" hidden="1" thickBot="1" x14ac:dyDescent="0.35">
      <c r="B43" s="23" t="s">
        <v>27</v>
      </c>
      <c r="C43" s="24">
        <v>3</v>
      </c>
      <c r="D43" s="24">
        <v>120</v>
      </c>
      <c r="E43" s="25">
        <v>1.6925679004069199E-2</v>
      </c>
      <c r="F43" s="26">
        <v>16.838161945343021</v>
      </c>
      <c r="G43" s="24">
        <v>4</v>
      </c>
      <c r="H43" s="6">
        <f t="shared" si="0"/>
        <v>0</v>
      </c>
      <c r="I43" s="24">
        <v>4</v>
      </c>
      <c r="J43" s="24">
        <v>4</v>
      </c>
      <c r="K43" s="35">
        <f t="shared" si="1"/>
        <v>1</v>
      </c>
      <c r="L43" s="27">
        <v>63.694463173701493</v>
      </c>
      <c r="M43" s="27">
        <v>63.694463006627402</v>
      </c>
      <c r="N43" s="27">
        <v>64.772535041814137</v>
      </c>
      <c r="O43" s="27">
        <v>16.84</v>
      </c>
      <c r="P43" s="27">
        <v>0.16707409122692329</v>
      </c>
      <c r="Q43" s="27">
        <v>3</v>
      </c>
      <c r="R43" s="27">
        <v>3</v>
      </c>
      <c r="S43" s="28" t="s">
        <v>21</v>
      </c>
    </row>
  </sheetData>
  <autoFilter ref="B1:S43" xr:uid="{1C716223-C472-46F8-9B96-90148ACBA61B}">
    <filterColumn colId="1">
      <filters>
        <filter val="3"/>
      </filters>
    </filterColumn>
    <filterColumn colId="2">
      <filters>
        <filter val="30"/>
      </filters>
    </filterColumn>
  </autoFilter>
  <sortState ref="A39:S43">
    <sortCondition ref="C38:C43"/>
    <sortCondition ref="D38:D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2025-01-26T22:59:57Z</dcterms:created>
  <dcterms:modified xsi:type="dcterms:W3CDTF">2025-01-27T00:22:49Z</dcterms:modified>
</cp:coreProperties>
</file>